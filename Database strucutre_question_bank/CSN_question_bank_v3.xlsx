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moope001\Downloads\"/>
    </mc:Choice>
  </mc:AlternateContent>
  <xr:revisionPtr revIDLastSave="0" documentId="8_{B25E18DD-A496-4653-B57C-BFED5A37108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4" r:id="rId1"/>
    <sheet name="Questions" sheetId="1" r:id="rId2"/>
    <sheet name="Summary by topic" sheetId="2" r:id="rId3"/>
    <sheet name="Summary by stage" sheetId="3" r:id="rId4"/>
  </sheets>
  <calcPr calcId="0"/>
</workbook>
</file>

<file path=xl/calcChain.xml><?xml version="1.0" encoding="utf-8"?>
<calcChain xmlns="http://schemas.openxmlformats.org/spreadsheetml/2006/main">
  <c r="B2" i="2" l="1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2" i="3" a="1"/>
  <c r="B2" i="3" s="1"/>
  <c r="B3" i="3" a="1"/>
  <c r="B3" i="3" s="1"/>
  <c r="B4" i="3" a="1"/>
  <c r="B4" i="3" s="1"/>
  <c r="B5" i="3" a="1"/>
  <c r="B5" i="3" s="1"/>
  <c r="B6" i="3" a="1"/>
  <c r="B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<sst xmlns="http://schemas.openxmlformats.org/spreadsheetml/2006/main" count="374" uniqueCount="240">
  <si>
    <t>question_id</t>
  </si>
  <si>
    <t>topic</t>
  </si>
  <si>
    <t>journey_stage</t>
  </si>
  <si>
    <t>question_text</t>
  </si>
  <si>
    <t>why_it_matters</t>
  </si>
  <si>
    <t>Q-001</t>
  </si>
  <si>
    <t>Pre-Diagnosis</t>
  </si>
  <si>
    <t>How do I get referred to a cancer specialist?</t>
  </si>
  <si>
    <t>First-step navigation; patients often don't know who to ask.</t>
  </si>
  <si>
    <t>Q-002</t>
  </si>
  <si>
    <t>Can my GP refer me directly, or do I need a specific test first?</t>
  </si>
  <si>
    <t>Common entry-point confusion in the Dutch system.</t>
  </si>
  <si>
    <t>Q-003</t>
  </si>
  <si>
    <t>Diagnosis</t>
  </si>
  <si>
    <t>Which hospital should I go to for my type of cancer?</t>
  </si>
  <si>
    <t>Centres of expertise vary by cancer type in the Netherlands.</t>
  </si>
  <si>
    <t>Q-004</t>
  </si>
  <si>
    <t>Can I choose which hospital to be referred to?</t>
  </si>
  <si>
    <t>Patient agency question — important under Dutch insurance rules.</t>
  </si>
  <si>
    <t>Q-005</t>
  </si>
  <si>
    <t>What happens after my GP refers me — who contacts me?</t>
  </si>
  <si>
    <t>Manages anxiety about the unknown next step.</t>
  </si>
  <si>
    <t>Q-006</t>
  </si>
  <si>
    <t>Waiting Times</t>
  </si>
  <si>
    <t>How long until I get my diagnosis after a suspicious test result?</t>
  </si>
  <si>
    <t>Most-asked question per CSN community feedback.</t>
  </si>
  <si>
    <t>Q-007</t>
  </si>
  <si>
    <t>What is a normal waiting time for an MRI or CT scan?</t>
  </si>
  <si>
    <t>Calibrates expectations against legal Dutch maxima.</t>
  </si>
  <si>
    <t>Q-008</t>
  </si>
  <si>
    <t>Treatment</t>
  </si>
  <si>
    <t>How long until I start treatment after diagnosis?</t>
  </si>
  <si>
    <t>Critical anxiety point; affects mental health outcomes.</t>
  </si>
  <si>
    <t>Q-009</t>
  </si>
  <si>
    <t>What if I have to wait longer than the legal maximum?</t>
  </si>
  <si>
    <t>Patient rights question — Treeknormen in NL.</t>
  </si>
  <si>
    <t>Q-010</t>
  </si>
  <si>
    <t>Can I get faster treatment if I go to a different hospital?</t>
  </si>
  <si>
    <t>Practical decision-making question.</t>
  </si>
  <si>
    <t>Q-011</t>
  </si>
  <si>
    <t>Treatment Decisions</t>
  </si>
  <si>
    <t>What treatment options do I have for my cancer?</t>
  </si>
  <si>
    <t>Foundational question — answer depends on cancer type &amp; stage.</t>
  </si>
  <si>
    <t>Q-012</t>
  </si>
  <si>
    <t>What are the side effects of my treatment?</t>
  </si>
  <si>
    <t>Quality-of-life driver; affects treatment acceptance.</t>
  </si>
  <si>
    <t>Q-013</t>
  </si>
  <si>
    <t>Can I take part in a clinical trial?</t>
  </si>
  <si>
    <t>Often-missed option; trials are listed centrally in NL.</t>
  </si>
  <si>
    <t>Q-014</t>
  </si>
  <si>
    <t>What happens if I decide not to have treatment?</t>
  </si>
  <si>
    <t>Autonomy question; rarely surfaced but important.</t>
  </si>
  <si>
    <t>Q-015</t>
  </si>
  <si>
    <t>How do I decide between surgery, chemotherapy, and radiotherapy?</t>
  </si>
  <si>
    <t>Shared decision-making — central to Dutch cancer care policy.</t>
  </si>
  <si>
    <t>Q-016</t>
  </si>
  <si>
    <t>Will my treatment affect my fertility?</t>
  </si>
  <si>
    <t>Often forgotten in initial consultations; time-sensitive.</t>
  </si>
  <si>
    <t>Q-017</t>
  </si>
  <si>
    <t>Second Opinions</t>
  </si>
  <si>
    <t>Can I get a second opinion before starting treatment?</t>
  </si>
  <si>
    <t>Patient right under Dutch healthcare law.</t>
  </si>
  <si>
    <t>Q-018</t>
  </si>
  <si>
    <t>How do I ask my doctor for a second opinion without offending them?</t>
  </si>
  <si>
    <t>Relational barrier; very common patient hesitation.</t>
  </si>
  <si>
    <t>Q-019</t>
  </si>
  <si>
    <t>Will my insurance cover a second opinion?</t>
  </si>
  <si>
    <t>Removes the financial uncertainty barrier.</t>
  </si>
  <si>
    <t>Q-020</t>
  </si>
  <si>
    <t>Where can I get an independent second opinion for my cancer type?</t>
  </si>
  <si>
    <t>Practical signposting — IKNL / centres of expertise.</t>
  </si>
  <si>
    <t>Q-021</t>
  </si>
  <si>
    <t>Additional Care &amp; Support</t>
  </si>
  <si>
    <t>What psychological support is available during treatment?</t>
  </si>
  <si>
    <t>Mental health support is under-used in NL cancer care.</t>
  </si>
  <si>
    <t>Q-022</t>
  </si>
  <si>
    <t>Can I get help with practical things like meals or transport?</t>
  </si>
  <si>
    <t>Day-to-day burden often outweighs medical questions.</t>
  </si>
  <si>
    <t>Q-023</t>
  </si>
  <si>
    <t>Post-Treatment</t>
  </si>
  <si>
    <t>What rehabilitation programmes are available after treatment?</t>
  </si>
  <si>
    <t>Onco-revalidatie programmes — well-developed in NL but under-publicised.</t>
  </si>
  <si>
    <t>Q-024</t>
  </si>
  <si>
    <t>How do I cope with fear of cancer recurrence?</t>
  </si>
  <si>
    <t>Top-3 long-term concern; under-served by clinical care.</t>
  </si>
  <si>
    <t>Q-025</t>
  </si>
  <si>
    <t>Where can I find support groups for people with my cancer?</t>
  </si>
  <si>
    <t>Peer support is a CSN core service.</t>
  </si>
  <si>
    <t>Q-026</t>
  </si>
  <si>
    <t>What financial help is available if I can't work during treatment?</t>
  </si>
  <si>
    <t>WIA / UWV navigation; major source of patient stress.</t>
  </si>
  <si>
    <t>Q-027</t>
  </si>
  <si>
    <t>Communication &amp; Understanding</t>
  </si>
  <si>
    <t>What questions should I ask my oncologist at my first appointment?</t>
  </si>
  <si>
    <t>Empowerment question; prep checklist is high-value content.</t>
  </si>
  <si>
    <t>Q-028</t>
  </si>
  <si>
    <t>Can I bring someone with me to medical appointments?</t>
  </si>
  <si>
    <t>Often unstated patient right; reduces information loss.</t>
  </si>
  <si>
    <t>Q-029</t>
  </si>
  <si>
    <t>How do I get a copy of my medical records?</t>
  </si>
  <si>
    <t>Patient-portal access; legal right under WGBO.</t>
  </si>
  <si>
    <t>Q-030</t>
  </si>
  <si>
    <t>What do common medical terms (e.g. 'metastatic', 'remission') mean?</t>
  </si>
  <si>
    <t>Plain-language glossary; reduces consultation anxiety.</t>
  </si>
  <si>
    <t>Q-031</t>
  </si>
  <si>
    <t>How do I talk to my family or children about my diagnosis?</t>
  </si>
  <si>
    <t>High-emotion question; CSN already provides resources here.</t>
  </si>
  <si>
    <t>Q-032</t>
  </si>
  <si>
    <t>Where can I find information about my cancer in plain English (not medical jargon)?</t>
  </si>
  <si>
    <t>Core CSN mission — direct match to chatbot purpose.</t>
  </si>
  <si>
    <t>Topic</t>
  </si>
  <si>
    <t>Question count</t>
  </si>
  <si>
    <t>Journey stage</t>
  </si>
  <si>
    <t>Field</t>
  </si>
  <si>
    <t>Description</t>
  </si>
  <si>
    <t>Title</t>
  </si>
  <si>
    <t>Version</t>
  </si>
  <si>
    <t>Created</t>
  </si>
  <si>
    <t>Purpose</t>
  </si>
  <si>
    <t>Seed list of patient questions the chatbot must be able to answer. Becomes the `questions` reference for the consolidated csn_knowledge table (column 9: question_id).</t>
  </si>
  <si>
    <t>Source</t>
  </si>
  <si>
    <t>Derived from CSN's 6 care-pathway topics + common patient-question patterns observed in scraped kanker.nl / IKNL content.</t>
  </si>
  <si>
    <t>Topics</t>
  </si>
  <si>
    <t>Referrals, Waiting Times, Treatment Decisions, Second Opinions, Additional Care &amp; Support, Communication &amp; Understanding</t>
  </si>
  <si>
    <t>Stages</t>
  </si>
  <si>
    <t>Pre-Diagnosis, Diagnosis, Treatment, Post-Treatment, Support</t>
  </si>
  <si>
    <t>Usage</t>
  </si>
  <si>
    <t>Each row in the consolidated csn_knowledge table will link to one of these via question_id. Multiple sources can answer the same question (one row per source).</t>
  </si>
  <si>
    <t>Next steps</t>
  </si>
  <si>
    <t>CSN Patient Question Bank — draft</t>
  </si>
  <si>
    <t>v1 (draft for team review)</t>
  </si>
  <si>
    <t>Review at next team session; expand or trim based on (a) feedback, (b) what the scraped content actually covers.</t>
  </si>
  <si>
    <t>Q-033</t>
  </si>
  <si>
    <t xml:space="preserve">Can I be referred to a specialist if I don't yet speak Dutch? </t>
  </si>
  <si>
    <t>Q-034</t>
  </si>
  <si>
    <t>Can I change hospitals after I have already been referred?</t>
  </si>
  <si>
    <t>Q-035</t>
  </si>
  <si>
    <t xml:space="preserve">How can I check waiting times at different hospitals? </t>
  </si>
  <si>
    <t>Q-037</t>
  </si>
  <si>
    <t>Can I receive treatment in English?</t>
  </si>
  <si>
    <t>Q-038</t>
  </si>
  <si>
    <t xml:space="preserve">Will my treatment plan be discussed by a multidisciplinary team? </t>
  </si>
  <si>
    <t xml:space="preserve">Can I access support services if I do not have family in the Netherlands? </t>
  </si>
  <si>
    <t>Q-040</t>
  </si>
  <si>
    <t>Q-041</t>
  </si>
  <si>
    <t>Q-042</t>
  </si>
  <si>
    <t xml:space="preserve">How can I make sure I understand important medical information provided in Dutch? </t>
  </si>
  <si>
    <t>Q-043</t>
  </si>
  <si>
    <t xml:space="preserve">First 48 Hours </t>
  </si>
  <si>
    <t>Q-045</t>
  </si>
  <si>
    <t xml:space="preserve">What should I do immediately after receiving a cancer diagnosis? </t>
  </si>
  <si>
    <t>Q-046</t>
  </si>
  <si>
    <t xml:space="preserve">Who should I contact first after my diagnosis? </t>
  </si>
  <si>
    <t>Q-047</t>
  </si>
  <si>
    <t xml:space="preserve">What information should I gather before my next appointment? </t>
  </si>
  <si>
    <t>International patients may receive important healthcare information in Dutch, creating a risk of misunderstanding diagnoses, treatment options, or next steps in their care journey.</t>
  </si>
  <si>
    <t>Language barriers can delay access to specialist care and create uncertainty during the referral process.</t>
  </si>
  <si>
    <t>Patients may identify a hospital with greater expertise or shorter waiting times after referral.</t>
  </si>
  <si>
    <t xml:space="preserve">Supports informed decision-making and helps patients compare treatment options across providers. </t>
  </si>
  <si>
    <t>Patients often do not know their escalation options when experiencing delays in diagnosis or treatment.</t>
  </si>
  <si>
    <t>Relevant to CSN's target audience of international cancer patients navigating the Dutch healthcare system in a second language.</t>
  </si>
  <si>
    <t>Helps patients understand how treatment decisions are made within the Dutch oncology system.</t>
  </si>
  <si>
    <t>International patients may have weaker local support networks and require additional assistance.</t>
  </si>
  <si>
    <t>Cancer affects the wider support network and carers often require information and assistance.</t>
  </si>
  <si>
    <t>Directly linked to language accessibility and effective communication with healthcare providers.</t>
  </si>
  <si>
    <t>Supports patient empowerment, informed consent, and shared decision-making.</t>
  </si>
  <si>
    <t>Patients may feel overwhelmed after diagnosis and need clear guidance on immediate next steps</t>
  </si>
  <si>
    <t>Helps patients identify key healthcare professionals, support services, and points of contact early in their care journey.</t>
  </si>
  <si>
    <t>Encourages patients to prepare effectively for consultations and participate in informed decision-making.</t>
  </si>
  <si>
    <t>Q-048</t>
  </si>
  <si>
    <t>Will my health insurance cover all of my cancer treatment?</t>
  </si>
  <si>
    <t>International patients may be unfamiliar with Dutch health insurance rules and coverage arrangements.</t>
  </si>
  <si>
    <t>Q-049</t>
  </si>
  <si>
    <t>What costs might I need to pay myself during treatment?</t>
  </si>
  <si>
    <t>Helps patients understand potential financial implications and avoid unexpected expenses.</t>
  </si>
  <si>
    <t>Q-050</t>
  </si>
  <si>
    <t>What are my rights as a patient in the Dutch healthcare system?</t>
  </si>
  <si>
    <t>Patients who understand their rights are better able to participate in decisions and advocate for themselves.</t>
  </si>
  <si>
    <t>Q-051</t>
  </si>
  <si>
    <t>Q-052</t>
  </si>
  <si>
    <t>Who can help me if I think my care is being delayed?</t>
  </si>
  <si>
    <t xml:space="preserve">What support is available for carers, partners, or family members? </t>
  </si>
  <si>
    <t>Can I request an interpreter for medical appointments?</t>
  </si>
  <si>
    <t xml:space="preserve">What should I do if I disagree with my treatment recommendation? </t>
  </si>
  <si>
    <t>Q-044</t>
  </si>
  <si>
    <t>Referrals and process</t>
  </si>
  <si>
    <t>How do I arrange a second opinion in the Netherlands?</t>
  </si>
  <si>
    <t xml:space="preserve">Patients know they have the right but rarely understand the mechanics of getting a second opinion </t>
  </si>
  <si>
    <t>How can I cope emotionally during the waiting period between diagnosis and the start of treatment?</t>
  </si>
  <si>
    <t>Pre-treatment "scanxiety" is distinct from in-treatment psychological support and is consistently flagged as the hardest emotional phase.</t>
  </si>
  <si>
    <t>Do I need to be registered with a Dutch GP to access cancer care?</t>
  </si>
  <si>
    <t>GP gatekeeping is unfamiliar to internationals; without a registered GP , the entire referral pathway stalls.</t>
  </si>
  <si>
    <t>How do I register with a Dutch GP if I don't have one yet?</t>
  </si>
  <si>
    <t>Practical step that follows from Q-052; registration mechanics, waiting lists, and area-based GP availability differ from many home countries.</t>
  </si>
  <si>
    <t>Q-053</t>
  </si>
  <si>
    <t>How does the mandatory deductible affect my cancer treatment costs?</t>
  </si>
  <si>
    <t>Internationals frequently don't realise they pay the first ~€385–€885 each calendar year; cancer treatment triggers this immediately and recurs annually.</t>
  </si>
  <si>
    <t>Q-055</t>
  </si>
  <si>
    <t>What are the legal maximum waiting times for cancer diagnosis and treatment in the Netherlands?</t>
  </si>
  <si>
    <t>Anchors all other waiting-time questions; gives patients a benchmark to assess whether their wait is normal or escalation-worthy.</t>
  </si>
  <si>
    <t>I was diagnosed or partially treated abroad — how do I transfer my care to the Netherlands?</t>
  </si>
  <si>
    <t>A defining situation for internationals; affects continuity of care and prevents duplicate testing.</t>
  </si>
  <si>
    <t>Q-056</t>
  </si>
  <si>
    <t>Q-057</t>
  </si>
  <si>
    <t>Can I request my diagnosis letter, treatment plan, or test results in English?</t>
  </si>
  <si>
    <t>Hospital practice varies widely; patients need to know what to ask for and from whom.</t>
  </si>
  <si>
    <t>Q-058</t>
  </si>
  <si>
    <t>How do I get my cancer medication from a Dutch pharmacist?</t>
  </si>
  <si>
    <t>Q-059</t>
  </si>
  <si>
    <t>How do prescriptions and repeat refills work in the Netherlands?</t>
  </si>
  <si>
    <t>Repeat-prescription rules and refill timing differ from many home countries and affect treatment continuity.</t>
  </si>
  <si>
    <t>Q-060</t>
  </si>
  <si>
    <t>Can I be dismissed from my job during cancer treatment in the Netherlands?</t>
  </si>
  <si>
    <t>Internationals on local contracts often don't realise Dutch law strongly protects employees during illness.</t>
  </si>
  <si>
    <t>Q-061</t>
  </si>
  <si>
    <t>Where can I get reliable advice on nutrition and diet during cancer treatment in the Netherlands?</t>
  </si>
  <si>
    <t>Distinct from rehabilitation; oncology dietitians (diëtist) are accessible via referral but under-publicised.</t>
  </si>
  <si>
    <t>Q-064</t>
  </si>
  <si>
    <t xml:space="preserve">	Can I travel home or abroad during my cancer treatment?</t>
  </si>
  <si>
    <t>A near-universal international concern; affects insurance, treatment scheduling, and continuity of care.</t>
  </si>
  <si>
    <t>Q-065</t>
  </si>
  <si>
    <t xml:space="preserve">	How can I get support for the impact of cancer treatment on my sexuality, intimacy, or relationships?</t>
  </si>
  <si>
    <t>Consistently under-asked but high-need; specialist sexology/oncology support exists in NL but patients rarely know to ask.</t>
  </si>
  <si>
    <t>Q-066</t>
  </si>
  <si>
    <t>Who follows up with me after my active cancer treatment ends?</t>
  </si>
  <si>
    <t>A recognised cliff-edge moment; patients often feel abandoned at end of treatment when intensive contact stops.</t>
  </si>
  <si>
    <t>Q-067</t>
  </si>
  <si>
    <t>Will I receive a survivorship care plan after treatment?</t>
  </si>
  <si>
    <t>Nazorgplan provision varies between hospitals; patients should know what they're entitled to.</t>
  </si>
  <si>
    <t>Who do I contact if my cancer comes back or progresses?</t>
  </si>
  <si>
    <t>Recurrence triggers a different (faster) pathway than initial diagnosis</t>
  </si>
  <si>
    <t>What palliative care and hospice options are available in the Netherlands?</t>
  </si>
  <si>
    <t>Dutch palliatieve zorg infrastructure differs significantly from many home countries and is largely unknown to internationals.</t>
  </si>
  <si>
    <t>Many international patients are unfamiliar with the Dutch pharmacy system and the requirement to register with a single pharmacy, which may affect access to medication and continuity of care.</t>
  </si>
  <si>
    <t>First 48 Hours</t>
  </si>
  <si>
    <t>Q-062</t>
  </si>
  <si>
    <t>Q-063</t>
  </si>
  <si>
    <t>Q-054</t>
  </si>
  <si>
    <t>Q-036</t>
  </si>
  <si>
    <t>Q-039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</si>
</sst>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3D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15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B10"/>
  <sheetViews>
    <sheetView zoomScale="110" zoomScaleNormal="110" workbookViewId="0">
      <selection activeCell="B9" sqref="B9"/>
    </sheetView>
  </sheetViews>
  <sheetFormatPr defaultColWidth="8.81640625" defaultRowHeight="14.5" x14ac:dyDescent="0.35"/>
  <cols>
    <col min="1" max="1" width="18" customWidth="1"/>
    <col min="2" max="2" width="90" customWidth="1"/>
  </cols>
  <sheetData>
    <row r="1" spans="1:2" x14ac:dyDescent="0.35">
      <c r="A1" s="3" t="s">
        <v>113</v>
      </c>
      <c r="B1" s="3" t="s">
        <v>114</v>
      </c>
    </row>
    <row r="2" spans="1:2" x14ac:dyDescent="0.35">
      <c r="A2" s="2" t="s">
        <v>115</v>
      </c>
      <c r="B2" s="2" t="s">
        <v>129</v>
      </c>
    </row>
    <row r="3" spans="1:2" x14ac:dyDescent="0.35">
      <c r="A3" s="2" t="s">
        <v>116</v>
      </c>
      <c r="B3" s="2" t="s">
        <v>130</v>
      </c>
    </row>
    <row r="4" spans="1:2" x14ac:dyDescent="0.35">
      <c r="A4" s="2" t="s">
        <v>117</v>
      </c>
      <c r="B4" s="4">
        <v>46173</v>
      </c>
    </row>
    <row r="5" spans="1:2" ht="29" x14ac:dyDescent="0.35">
      <c r="A5" s="2" t="s">
        <v>118</v>
      </c>
      <c r="B5" s="2" t="s">
        <v>119</v>
      </c>
    </row>
    <row r="6" spans="1:2" ht="29" x14ac:dyDescent="0.35">
      <c r="A6" s="2" t="s">
        <v>120</v>
      </c>
      <c r="B6" s="2" t="s">
        <v>121</v>
      </c>
    </row>
    <row r="7" spans="1:2" ht="29" x14ac:dyDescent="0.35">
      <c r="A7" s="2" t="s">
        <v>122</v>
      </c>
      <c r="B7" s="2" t="s">
        <v>123</v>
      </c>
    </row>
    <row r="8" spans="1:2" x14ac:dyDescent="0.35">
      <c r="A8" s="2" t="s">
        <v>124</v>
      </c>
      <c r="B8" s="2" t="s">
        <v>125</v>
      </c>
    </row>
    <row r="9" spans="1:2" ht="29" x14ac:dyDescent="0.35">
      <c r="A9" s="2" t="s">
        <v>126</v>
      </c>
      <c r="B9" s="2" t="s">
        <v>127</v>
      </c>
    </row>
    <row r="10" spans="1:2" ht="29" x14ac:dyDescent="0.35">
      <c r="A10" s="2" t="s">
        <v>128</v>
      </c>
      <c r="B10" s="2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E68"/>
  <sheetViews>
    <sheetView tabSelected="1" zoomScale="70" zoomScaleNormal="70" workbookViewId="0">
      <selection activeCell="A16" sqref="A16"/>
    </sheetView>
  </sheetViews>
  <sheetFormatPr defaultColWidth="8.81640625" defaultRowHeight="14.5" x14ac:dyDescent="0.35"/>
  <cols>
    <col min="1" max="1" width="12" customWidth="1"/>
    <col min="2" max="2" width="28" customWidth="1"/>
    <col min="3" max="3" width="16" customWidth="1"/>
    <col min="4" max="5" width="6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185</v>
      </c>
      <c r="C2" s="2" t="s">
        <v>6</v>
      </c>
      <c r="D2" s="2" t="s">
        <v>7</v>
      </c>
      <c r="E2" s="2" t="s">
        <v>8</v>
      </c>
    </row>
    <row r="3" spans="1:5" x14ac:dyDescent="0.35">
      <c r="A3" s="2" t="s">
        <v>9</v>
      </c>
      <c r="B3" s="2" t="s">
        <v>185</v>
      </c>
      <c r="C3" s="2" t="s">
        <v>6</v>
      </c>
      <c r="D3" s="2" t="s">
        <v>10</v>
      </c>
      <c r="E3" s="2" t="s">
        <v>11</v>
      </c>
    </row>
    <row r="4" spans="1:5" x14ac:dyDescent="0.35">
      <c r="A4" s="2" t="s">
        <v>12</v>
      </c>
      <c r="B4" s="2" t="s">
        <v>185</v>
      </c>
      <c r="C4" s="2" t="s">
        <v>13</v>
      </c>
      <c r="D4" s="2" t="s">
        <v>14</v>
      </c>
      <c r="E4" s="2" t="s">
        <v>15</v>
      </c>
    </row>
    <row r="5" spans="1:5" x14ac:dyDescent="0.35">
      <c r="A5" s="2" t="s">
        <v>16</v>
      </c>
      <c r="B5" s="2" t="s">
        <v>185</v>
      </c>
      <c r="C5" s="2" t="s">
        <v>13</v>
      </c>
      <c r="D5" s="2" t="s">
        <v>17</v>
      </c>
      <c r="E5" s="2" t="s">
        <v>18</v>
      </c>
    </row>
    <row r="6" spans="1:5" x14ac:dyDescent="0.35">
      <c r="A6" s="2" t="s">
        <v>19</v>
      </c>
      <c r="B6" s="2" t="s">
        <v>185</v>
      </c>
      <c r="C6" s="2" t="s">
        <v>13</v>
      </c>
      <c r="D6" s="2" t="s">
        <v>20</v>
      </c>
      <c r="E6" s="2" t="s">
        <v>21</v>
      </c>
    </row>
    <row r="7" spans="1:5" x14ac:dyDescent="0.35">
      <c r="A7" s="2" t="s">
        <v>22</v>
      </c>
      <c r="B7" s="2" t="s">
        <v>23</v>
      </c>
      <c r="C7" s="2" t="s">
        <v>13</v>
      </c>
      <c r="D7" s="2" t="s">
        <v>24</v>
      </c>
      <c r="E7" s="2" t="s">
        <v>25</v>
      </c>
    </row>
    <row r="8" spans="1:5" x14ac:dyDescent="0.35">
      <c r="A8" s="2" t="s">
        <v>26</v>
      </c>
      <c r="B8" s="2" t="s">
        <v>23</v>
      </c>
      <c r="C8" s="2" t="s">
        <v>13</v>
      </c>
      <c r="D8" s="2" t="s">
        <v>27</v>
      </c>
      <c r="E8" s="2" t="s">
        <v>28</v>
      </c>
    </row>
    <row r="9" spans="1:5" x14ac:dyDescent="0.35">
      <c r="A9" s="2" t="s">
        <v>29</v>
      </c>
      <c r="B9" s="2" t="s">
        <v>23</v>
      </c>
      <c r="C9" s="2" t="s">
        <v>30</v>
      </c>
      <c r="D9" s="2" t="s">
        <v>31</v>
      </c>
      <c r="E9" s="2" t="s">
        <v>32</v>
      </c>
    </row>
    <row r="10" spans="1:5" x14ac:dyDescent="0.35">
      <c r="A10" s="2" t="s">
        <v>33</v>
      </c>
      <c r="B10" s="2" t="s">
        <v>23</v>
      </c>
      <c r="C10" s="2" t="s">
        <v>30</v>
      </c>
      <c r="D10" s="2" t="s">
        <v>34</v>
      </c>
      <c r="E10" s="2" t="s">
        <v>35</v>
      </c>
    </row>
    <row r="11" spans="1:5" x14ac:dyDescent="0.35">
      <c r="A11" s="2" t="s">
        <v>36</v>
      </c>
      <c r="B11" s="2" t="s">
        <v>23</v>
      </c>
      <c r="C11" s="2" t="s">
        <v>30</v>
      </c>
      <c r="D11" s="2" t="s">
        <v>37</v>
      </c>
      <c r="E11" s="2" t="s">
        <v>38</v>
      </c>
    </row>
    <row r="12" spans="1:5" x14ac:dyDescent="0.35">
      <c r="A12" s="2" t="s">
        <v>39</v>
      </c>
      <c r="B12" s="2" t="s">
        <v>40</v>
      </c>
      <c r="C12" s="2" t="s">
        <v>30</v>
      </c>
      <c r="D12" s="2" t="s">
        <v>41</v>
      </c>
      <c r="E12" s="2" t="s">
        <v>42</v>
      </c>
    </row>
    <row r="13" spans="1:5" x14ac:dyDescent="0.35">
      <c r="A13" s="2" t="s">
        <v>43</v>
      </c>
      <c r="B13" s="2" t="s">
        <v>40</v>
      </c>
      <c r="C13" s="2" t="s">
        <v>30</v>
      </c>
      <c r="D13" s="2" t="s">
        <v>44</v>
      </c>
      <c r="E13" s="2" t="s">
        <v>45</v>
      </c>
    </row>
    <row r="14" spans="1:5" x14ac:dyDescent="0.35">
      <c r="A14" s="2" t="s">
        <v>46</v>
      </c>
      <c r="B14" s="2" t="s">
        <v>40</v>
      </c>
      <c r="C14" s="2" t="s">
        <v>30</v>
      </c>
      <c r="D14" s="2" t="s">
        <v>47</v>
      </c>
      <c r="E14" s="2" t="s">
        <v>48</v>
      </c>
    </row>
    <row r="15" spans="1:5" x14ac:dyDescent="0.35">
      <c r="A15" s="2" t="s">
        <v>49</v>
      </c>
      <c r="B15" s="2" t="s">
        <v>40</v>
      </c>
      <c r="C15" s="2" t="s">
        <v>30</v>
      </c>
      <c r="D15" s="2" t="s">
        <v>50</v>
      </c>
      <c r="E15" s="2" t="s">
        <v>51</v>
      </c>
    </row>
    <row r="16" spans="1:5" x14ac:dyDescent="0.35">
      <c r="A16" s="2" t="s">
        <v>52</v>
      </c>
      <c r="B16" s="2" t="s">
        <v>40</v>
      </c>
      <c r="C16" s="2" t="s">
        <v>30</v>
      </c>
      <c r="D16" s="2" t="s">
        <v>53</v>
      </c>
      <c r="E16" s="2" t="s">
        <v>54</v>
      </c>
    </row>
    <row r="17" spans="1:5" x14ac:dyDescent="0.35">
      <c r="A17" s="2" t="s">
        <v>55</v>
      </c>
      <c r="B17" s="2" t="s">
        <v>40</v>
      </c>
      <c r="C17" s="2" t="s">
        <v>30</v>
      </c>
      <c r="D17" s="2" t="s">
        <v>56</v>
      </c>
      <c r="E17" s="2" t="s">
        <v>57</v>
      </c>
    </row>
    <row r="18" spans="1:5" x14ac:dyDescent="0.35">
      <c r="A18" s="2" t="s">
        <v>58</v>
      </c>
      <c r="B18" s="2" t="s">
        <v>59</v>
      </c>
      <c r="C18" s="2" t="s">
        <v>13</v>
      </c>
      <c r="D18" s="2" t="s">
        <v>60</v>
      </c>
      <c r="E18" s="2" t="s">
        <v>61</v>
      </c>
    </row>
    <row r="19" spans="1:5" ht="29" x14ac:dyDescent="0.35">
      <c r="A19" s="2" t="s">
        <v>62</v>
      </c>
      <c r="B19" s="2" t="s">
        <v>59</v>
      </c>
      <c r="C19" s="2" t="s">
        <v>13</v>
      </c>
      <c r="D19" s="2" t="s">
        <v>63</v>
      </c>
      <c r="E19" s="2" t="s">
        <v>64</v>
      </c>
    </row>
    <row r="20" spans="1:5" x14ac:dyDescent="0.35">
      <c r="A20" s="2" t="s">
        <v>65</v>
      </c>
      <c r="B20" s="2" t="s">
        <v>59</v>
      </c>
      <c r="C20" s="2" t="s">
        <v>13</v>
      </c>
      <c r="D20" s="2" t="s">
        <v>66</v>
      </c>
      <c r="E20" s="2" t="s">
        <v>67</v>
      </c>
    </row>
    <row r="21" spans="1:5" x14ac:dyDescent="0.35">
      <c r="A21" s="2" t="s">
        <v>68</v>
      </c>
      <c r="B21" s="2" t="s">
        <v>59</v>
      </c>
      <c r="C21" s="2" t="s">
        <v>30</v>
      </c>
      <c r="D21" s="2" t="s">
        <v>69</v>
      </c>
      <c r="E21" s="2" t="s">
        <v>70</v>
      </c>
    </row>
    <row r="22" spans="1:5" x14ac:dyDescent="0.35">
      <c r="A22" s="2" t="s">
        <v>71</v>
      </c>
      <c r="B22" s="2" t="s">
        <v>72</v>
      </c>
      <c r="C22" s="2" t="s">
        <v>30</v>
      </c>
      <c r="D22" s="2" t="s">
        <v>73</v>
      </c>
      <c r="E22" s="2" t="s">
        <v>74</v>
      </c>
    </row>
    <row r="23" spans="1:5" x14ac:dyDescent="0.35">
      <c r="A23" s="2" t="s">
        <v>75</v>
      </c>
      <c r="B23" s="2" t="s">
        <v>72</v>
      </c>
      <c r="C23" s="2" t="s">
        <v>30</v>
      </c>
      <c r="D23" s="2" t="s">
        <v>76</v>
      </c>
      <c r="E23" s="2" t="s">
        <v>77</v>
      </c>
    </row>
    <row r="24" spans="1:5" ht="29" x14ac:dyDescent="0.35">
      <c r="A24" s="2" t="s">
        <v>78</v>
      </c>
      <c r="B24" s="2" t="s">
        <v>72</v>
      </c>
      <c r="C24" s="2" t="s">
        <v>79</v>
      </c>
      <c r="D24" s="2" t="s">
        <v>80</v>
      </c>
      <c r="E24" s="2" t="s">
        <v>81</v>
      </c>
    </row>
    <row r="25" spans="1:5" x14ac:dyDescent="0.35">
      <c r="A25" s="2" t="s">
        <v>82</v>
      </c>
      <c r="B25" s="2" t="s">
        <v>72</v>
      </c>
      <c r="C25" s="2" t="s">
        <v>79</v>
      </c>
      <c r="D25" s="2" t="s">
        <v>83</v>
      </c>
      <c r="E25" s="2" t="s">
        <v>84</v>
      </c>
    </row>
    <row r="26" spans="1:5" x14ac:dyDescent="0.35">
      <c r="A26" s="2" t="s">
        <v>85</v>
      </c>
      <c r="B26" s="2" t="s">
        <v>72</v>
      </c>
      <c r="C26" s="2" t="s">
        <v>30</v>
      </c>
      <c r="D26" s="2" t="s">
        <v>86</v>
      </c>
      <c r="E26" s="2" t="s">
        <v>87</v>
      </c>
    </row>
    <row r="27" spans="1:5" x14ac:dyDescent="0.35">
      <c r="A27" s="2" t="s">
        <v>88</v>
      </c>
      <c r="B27" s="2" t="s">
        <v>72</v>
      </c>
      <c r="C27" s="2" t="s">
        <v>30</v>
      </c>
      <c r="D27" s="2" t="s">
        <v>89</v>
      </c>
      <c r="E27" s="2" t="s">
        <v>90</v>
      </c>
    </row>
    <row r="28" spans="1:5" ht="29" x14ac:dyDescent="0.35">
      <c r="A28" s="2" t="s">
        <v>91</v>
      </c>
      <c r="B28" s="2" t="s">
        <v>92</v>
      </c>
      <c r="C28" s="2" t="s">
        <v>13</v>
      </c>
      <c r="D28" s="2" t="s">
        <v>93</v>
      </c>
      <c r="E28" s="2" t="s">
        <v>94</v>
      </c>
    </row>
    <row r="29" spans="1:5" ht="29" x14ac:dyDescent="0.35">
      <c r="A29" s="2" t="s">
        <v>95</v>
      </c>
      <c r="B29" s="2" t="s">
        <v>92</v>
      </c>
      <c r="C29" s="2" t="s">
        <v>13</v>
      </c>
      <c r="D29" s="2" t="s">
        <v>96</v>
      </c>
      <c r="E29" s="2" t="s">
        <v>97</v>
      </c>
    </row>
    <row r="30" spans="1:5" ht="29" x14ac:dyDescent="0.35">
      <c r="A30" s="2" t="s">
        <v>98</v>
      </c>
      <c r="B30" s="2" t="s">
        <v>92</v>
      </c>
      <c r="C30" s="2" t="s">
        <v>30</v>
      </c>
      <c r="D30" s="2" t="s">
        <v>99</v>
      </c>
      <c r="E30" s="2" t="s">
        <v>100</v>
      </c>
    </row>
    <row r="31" spans="1:5" ht="29" x14ac:dyDescent="0.35">
      <c r="A31" s="2" t="s">
        <v>101</v>
      </c>
      <c r="B31" s="2" t="s">
        <v>92</v>
      </c>
      <c r="C31" s="2" t="s">
        <v>30</v>
      </c>
      <c r="D31" s="2" t="s">
        <v>102</v>
      </c>
      <c r="E31" s="2" t="s">
        <v>103</v>
      </c>
    </row>
    <row r="32" spans="1:5" x14ac:dyDescent="0.35">
      <c r="A32" s="2" t="s">
        <v>104</v>
      </c>
      <c r="B32" s="2" t="s">
        <v>72</v>
      </c>
      <c r="C32" s="2" t="s">
        <v>148</v>
      </c>
      <c r="D32" s="2" t="s">
        <v>105</v>
      </c>
      <c r="E32" s="2" t="s">
        <v>106</v>
      </c>
    </row>
    <row r="33" spans="1:5" ht="29" x14ac:dyDescent="0.35">
      <c r="A33" s="2" t="s">
        <v>107</v>
      </c>
      <c r="B33" s="2" t="s">
        <v>92</v>
      </c>
      <c r="C33" s="2" t="s">
        <v>6</v>
      </c>
      <c r="D33" s="2" t="s">
        <v>108</v>
      </c>
      <c r="E33" s="2" t="s">
        <v>109</v>
      </c>
    </row>
    <row r="34" spans="1:5" ht="29" x14ac:dyDescent="0.35">
      <c r="A34" s="2" t="s">
        <v>132</v>
      </c>
      <c r="B34" s="2" t="s">
        <v>185</v>
      </c>
      <c r="C34" s="2" t="s">
        <v>13</v>
      </c>
      <c r="D34" s="2" t="s">
        <v>133</v>
      </c>
      <c r="E34" s="2" t="s">
        <v>156</v>
      </c>
    </row>
    <row r="35" spans="1:5" ht="29" x14ac:dyDescent="0.35">
      <c r="A35" s="2" t="s">
        <v>134</v>
      </c>
      <c r="B35" s="2" t="s">
        <v>185</v>
      </c>
      <c r="C35" s="2" t="s">
        <v>13</v>
      </c>
      <c r="D35" s="2" t="s">
        <v>135</v>
      </c>
      <c r="E35" s="2" t="s">
        <v>157</v>
      </c>
    </row>
    <row r="36" spans="1:5" ht="29" x14ac:dyDescent="0.35">
      <c r="A36" s="2" t="s">
        <v>136</v>
      </c>
      <c r="B36" s="2" t="s">
        <v>23</v>
      </c>
      <c r="C36" s="2" t="s">
        <v>13</v>
      </c>
      <c r="D36" s="2" t="s">
        <v>137</v>
      </c>
      <c r="E36" s="2" t="s">
        <v>158</v>
      </c>
    </row>
    <row r="37" spans="1:5" ht="29" x14ac:dyDescent="0.35">
      <c r="A37" s="2" t="s">
        <v>238</v>
      </c>
      <c r="B37" s="2" t="s">
        <v>23</v>
      </c>
      <c r="C37" s="2" t="s">
        <v>30</v>
      </c>
      <c r="D37" s="2" t="s">
        <v>180</v>
      </c>
      <c r="E37" s="2" t="s">
        <v>159</v>
      </c>
    </row>
    <row r="38" spans="1:5" ht="29" x14ac:dyDescent="0.35">
      <c r="A38" s="2" t="s">
        <v>138</v>
      </c>
      <c r="B38" s="2" t="s">
        <v>40</v>
      </c>
      <c r="C38" s="2" t="s">
        <v>30</v>
      </c>
      <c r="D38" s="2" t="s">
        <v>139</v>
      </c>
      <c r="E38" s="2" t="s">
        <v>160</v>
      </c>
    </row>
    <row r="39" spans="1:5" ht="29" x14ac:dyDescent="0.35">
      <c r="A39" s="2" t="s">
        <v>140</v>
      </c>
      <c r="B39" s="2" t="s">
        <v>40</v>
      </c>
      <c r="C39" s="2" t="s">
        <v>30</v>
      </c>
      <c r="D39" s="2" t="s">
        <v>141</v>
      </c>
      <c r="E39" s="2" t="s">
        <v>161</v>
      </c>
    </row>
    <row r="40" spans="1:5" ht="29" x14ac:dyDescent="0.35">
      <c r="A40" s="2" t="s">
        <v>239</v>
      </c>
      <c r="B40" s="2" t="s">
        <v>72</v>
      </c>
      <c r="C40" s="2" t="s">
        <v>30</v>
      </c>
      <c r="D40" s="2" t="s">
        <v>142</v>
      </c>
      <c r="E40" s="2" t="s">
        <v>162</v>
      </c>
    </row>
    <row r="41" spans="1:5" ht="29" x14ac:dyDescent="0.35">
      <c r="A41" s="2" t="s">
        <v>143</v>
      </c>
      <c r="B41" s="2" t="s">
        <v>72</v>
      </c>
      <c r="C41" s="2" t="s">
        <v>30</v>
      </c>
      <c r="D41" s="2" t="s">
        <v>181</v>
      </c>
      <c r="E41" s="2" t="s">
        <v>163</v>
      </c>
    </row>
    <row r="42" spans="1:5" ht="29" x14ac:dyDescent="0.35">
      <c r="A42" s="2" t="s">
        <v>144</v>
      </c>
      <c r="B42" s="2" t="s">
        <v>92</v>
      </c>
      <c r="C42" s="2" t="s">
        <v>30</v>
      </c>
      <c r="D42" s="2" t="s">
        <v>182</v>
      </c>
      <c r="E42" s="2" t="s">
        <v>164</v>
      </c>
    </row>
    <row r="43" spans="1:5" ht="43.5" x14ac:dyDescent="0.35">
      <c r="A43" s="2" t="s">
        <v>145</v>
      </c>
      <c r="B43" s="2" t="s">
        <v>92</v>
      </c>
      <c r="C43" s="2" t="s">
        <v>30</v>
      </c>
      <c r="D43" s="2" t="s">
        <v>146</v>
      </c>
      <c r="E43" s="2" t="s">
        <v>155</v>
      </c>
    </row>
    <row r="44" spans="1:5" ht="29" x14ac:dyDescent="0.35">
      <c r="A44" s="2" t="s">
        <v>147</v>
      </c>
      <c r="B44" s="2" t="s">
        <v>92</v>
      </c>
      <c r="C44" s="2" t="s">
        <v>30</v>
      </c>
      <c r="D44" s="2" t="s">
        <v>183</v>
      </c>
      <c r="E44" s="2" t="s">
        <v>165</v>
      </c>
    </row>
    <row r="45" spans="1:5" ht="29" x14ac:dyDescent="0.35">
      <c r="A45" s="2" t="s">
        <v>184</v>
      </c>
      <c r="B45" s="2" t="s">
        <v>92</v>
      </c>
      <c r="C45" s="2" t="s">
        <v>148</v>
      </c>
      <c r="D45" s="2" t="s">
        <v>150</v>
      </c>
      <c r="E45" s="2" t="s">
        <v>166</v>
      </c>
    </row>
    <row r="46" spans="1:5" ht="29" x14ac:dyDescent="0.35">
      <c r="A46" s="2" t="s">
        <v>149</v>
      </c>
      <c r="B46" s="2" t="s">
        <v>92</v>
      </c>
      <c r="C46" s="2" t="s">
        <v>148</v>
      </c>
      <c r="D46" s="2" t="s">
        <v>152</v>
      </c>
      <c r="E46" s="2" t="s">
        <v>167</v>
      </c>
    </row>
    <row r="47" spans="1:5" ht="29" x14ac:dyDescent="0.35">
      <c r="A47" s="2" t="s">
        <v>151</v>
      </c>
      <c r="B47" s="2" t="s">
        <v>40</v>
      </c>
      <c r="C47" s="2" t="s">
        <v>148</v>
      </c>
      <c r="D47" s="2" t="s">
        <v>154</v>
      </c>
      <c r="E47" s="2" t="s">
        <v>168</v>
      </c>
    </row>
    <row r="48" spans="1:5" ht="29" x14ac:dyDescent="0.35">
      <c r="A48" s="2" t="s">
        <v>153</v>
      </c>
      <c r="B48" s="2" t="s">
        <v>72</v>
      </c>
      <c r="C48" s="2" t="s">
        <v>13</v>
      </c>
      <c r="D48" s="2" t="s">
        <v>170</v>
      </c>
      <c r="E48" s="2" t="s">
        <v>171</v>
      </c>
    </row>
    <row r="49" spans="1:5" ht="29" x14ac:dyDescent="0.35">
      <c r="A49" s="2" t="s">
        <v>169</v>
      </c>
      <c r="B49" s="2" t="s">
        <v>72</v>
      </c>
      <c r="C49" s="2" t="s">
        <v>30</v>
      </c>
      <c r="D49" s="2" t="s">
        <v>173</v>
      </c>
      <c r="E49" s="2" t="s">
        <v>174</v>
      </c>
    </row>
    <row r="50" spans="1:5" ht="29" x14ac:dyDescent="0.35">
      <c r="A50" s="2" t="s">
        <v>172</v>
      </c>
      <c r="B50" s="2" t="s">
        <v>92</v>
      </c>
      <c r="C50" s="2" t="s">
        <v>13</v>
      </c>
      <c r="D50" s="2" t="s">
        <v>176</v>
      </c>
      <c r="E50" s="2" t="s">
        <v>177</v>
      </c>
    </row>
    <row r="51" spans="1:5" ht="29" x14ac:dyDescent="0.35">
      <c r="A51" s="2" t="s">
        <v>175</v>
      </c>
      <c r="B51" s="2" t="s">
        <v>59</v>
      </c>
      <c r="C51" s="2" t="s">
        <v>30</v>
      </c>
      <c r="D51" s="2" t="s">
        <v>186</v>
      </c>
      <c r="E51" s="2" t="s">
        <v>187</v>
      </c>
    </row>
    <row r="52" spans="1:5" ht="29" x14ac:dyDescent="0.35">
      <c r="A52" s="2" t="s">
        <v>178</v>
      </c>
      <c r="B52" s="2" t="s">
        <v>72</v>
      </c>
      <c r="C52" s="2" t="s">
        <v>148</v>
      </c>
      <c r="D52" s="2" t="s">
        <v>188</v>
      </c>
      <c r="E52" s="2" t="s">
        <v>189</v>
      </c>
    </row>
    <row r="53" spans="1:5" ht="29" x14ac:dyDescent="0.35">
      <c r="A53" s="2" t="s">
        <v>179</v>
      </c>
      <c r="B53" s="2" t="s">
        <v>185</v>
      </c>
      <c r="C53" s="2" t="s">
        <v>6</v>
      </c>
      <c r="D53" s="2" t="s">
        <v>190</v>
      </c>
      <c r="E53" s="2" t="s">
        <v>191</v>
      </c>
    </row>
    <row r="54" spans="1:5" ht="29" x14ac:dyDescent="0.35">
      <c r="A54" s="2" t="s">
        <v>194</v>
      </c>
      <c r="B54" s="2" t="s">
        <v>185</v>
      </c>
      <c r="C54" s="2" t="s">
        <v>6</v>
      </c>
      <c r="D54" s="2" t="s">
        <v>192</v>
      </c>
      <c r="E54" s="2" t="s">
        <v>193</v>
      </c>
    </row>
    <row r="55" spans="1:5" ht="43.5" x14ac:dyDescent="0.35">
      <c r="A55" s="2" t="s">
        <v>237</v>
      </c>
      <c r="B55" s="2" t="s">
        <v>72</v>
      </c>
      <c r="C55" s="2" t="s">
        <v>6</v>
      </c>
      <c r="D55" s="2" t="s">
        <v>195</v>
      </c>
      <c r="E55" s="2" t="s">
        <v>196</v>
      </c>
    </row>
    <row r="56" spans="1:5" ht="29" x14ac:dyDescent="0.35">
      <c r="A56" s="2" t="s">
        <v>197</v>
      </c>
      <c r="B56" s="2" t="s">
        <v>23</v>
      </c>
      <c r="C56" s="2" t="s">
        <v>6</v>
      </c>
      <c r="D56" s="2" t="s">
        <v>198</v>
      </c>
      <c r="E56" s="2" t="s">
        <v>199</v>
      </c>
    </row>
    <row r="57" spans="1:5" ht="29" x14ac:dyDescent="0.35">
      <c r="A57" s="2" t="s">
        <v>202</v>
      </c>
      <c r="B57" s="2" t="s">
        <v>92</v>
      </c>
      <c r="C57" s="2" t="s">
        <v>148</v>
      </c>
      <c r="D57" s="2" t="s">
        <v>200</v>
      </c>
      <c r="E57" s="2" t="s">
        <v>201</v>
      </c>
    </row>
    <row r="58" spans="1:5" ht="29" x14ac:dyDescent="0.35">
      <c r="A58" s="2" t="s">
        <v>203</v>
      </c>
      <c r="B58" s="2" t="s">
        <v>92</v>
      </c>
      <c r="C58" s="2" t="s">
        <v>13</v>
      </c>
      <c r="D58" s="2" t="s">
        <v>204</v>
      </c>
      <c r="E58" s="2" t="s">
        <v>205</v>
      </c>
    </row>
    <row r="59" spans="1:5" ht="43.5" x14ac:dyDescent="0.35">
      <c r="A59" s="2" t="s">
        <v>206</v>
      </c>
      <c r="B59" s="2" t="s">
        <v>72</v>
      </c>
      <c r="C59" s="2" t="s">
        <v>30</v>
      </c>
      <c r="D59" s="2" t="s">
        <v>207</v>
      </c>
      <c r="E59" s="2" t="s">
        <v>233</v>
      </c>
    </row>
    <row r="60" spans="1:5" ht="29" x14ac:dyDescent="0.35">
      <c r="A60" s="2" t="s">
        <v>208</v>
      </c>
      <c r="B60" s="2" t="s">
        <v>72</v>
      </c>
      <c r="C60" s="2" t="s">
        <v>30</v>
      </c>
      <c r="D60" s="2" t="s">
        <v>209</v>
      </c>
      <c r="E60" s="2" t="s">
        <v>210</v>
      </c>
    </row>
    <row r="61" spans="1:5" ht="29" x14ac:dyDescent="0.35">
      <c r="A61" s="2" t="s">
        <v>211</v>
      </c>
      <c r="B61" s="2" t="s">
        <v>72</v>
      </c>
      <c r="C61" s="2" t="s">
        <v>30</v>
      </c>
      <c r="D61" s="2" t="s">
        <v>212</v>
      </c>
      <c r="E61" s="2" t="s">
        <v>213</v>
      </c>
    </row>
    <row r="62" spans="1:5" ht="29" x14ac:dyDescent="0.35">
      <c r="A62" s="2" t="s">
        <v>214</v>
      </c>
      <c r="B62" s="2" t="s">
        <v>72</v>
      </c>
      <c r="C62" s="2" t="s">
        <v>30</v>
      </c>
      <c r="D62" s="2" t="s">
        <v>215</v>
      </c>
      <c r="E62" s="2" t="s">
        <v>216</v>
      </c>
    </row>
    <row r="63" spans="1:5" ht="29" x14ac:dyDescent="0.35">
      <c r="A63" s="2" t="s">
        <v>235</v>
      </c>
      <c r="B63" s="2" t="s">
        <v>40</v>
      </c>
      <c r="C63" s="2" t="s">
        <v>30</v>
      </c>
      <c r="D63" s="2" t="s">
        <v>218</v>
      </c>
      <c r="E63" s="2" t="s">
        <v>219</v>
      </c>
    </row>
    <row r="64" spans="1:5" ht="29" x14ac:dyDescent="0.35">
      <c r="A64" s="2" t="s">
        <v>236</v>
      </c>
      <c r="B64" s="2" t="s">
        <v>72</v>
      </c>
      <c r="C64" s="2" t="s">
        <v>30</v>
      </c>
      <c r="D64" s="2" t="s">
        <v>221</v>
      </c>
      <c r="E64" s="2" t="s">
        <v>222</v>
      </c>
    </row>
    <row r="65" spans="1:5" ht="29" x14ac:dyDescent="0.35">
      <c r="A65" s="2" t="s">
        <v>217</v>
      </c>
      <c r="B65" s="2" t="s">
        <v>72</v>
      </c>
      <c r="C65" s="2" t="s">
        <v>79</v>
      </c>
      <c r="D65" s="2" t="s">
        <v>224</v>
      </c>
      <c r="E65" s="2" t="s">
        <v>225</v>
      </c>
    </row>
    <row r="66" spans="1:5" ht="29" x14ac:dyDescent="0.35">
      <c r="A66" s="2" t="s">
        <v>220</v>
      </c>
      <c r="B66" s="2" t="s">
        <v>72</v>
      </c>
      <c r="C66" s="2" t="s">
        <v>79</v>
      </c>
      <c r="D66" s="2" t="s">
        <v>227</v>
      </c>
      <c r="E66" s="2" t="s">
        <v>228</v>
      </c>
    </row>
    <row r="67" spans="1:5" x14ac:dyDescent="0.35">
      <c r="A67" s="2" t="s">
        <v>223</v>
      </c>
      <c r="B67" s="2" t="s">
        <v>185</v>
      </c>
      <c r="C67" s="2" t="s">
        <v>79</v>
      </c>
      <c r="D67" s="2" t="s">
        <v>229</v>
      </c>
      <c r="E67" s="2" t="s">
        <v>230</v>
      </c>
    </row>
    <row r="68" spans="1:5" ht="29" x14ac:dyDescent="0.35">
      <c r="A68" s="2" t="s">
        <v>226</v>
      </c>
      <c r="B68" s="2" t="s">
        <v>72</v>
      </c>
      <c r="C68" s="2" t="s">
        <v>79</v>
      </c>
      <c r="D68" s="2" t="s">
        <v>231</v>
      </c>
      <c r="E68" s="2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H3" sqref="H3"/>
    </sheetView>
  </sheetViews>
  <sheetFormatPr defaultColWidth="8.81640625" defaultRowHeight="14.5" x14ac:dyDescent="0.35"/>
  <cols>
    <col min="1" max="1" width="32" customWidth="1"/>
    <col min="2" max="2" width="18" customWidth="1"/>
  </cols>
  <sheetData>
    <row r="1" spans="1:2" x14ac:dyDescent="0.35">
      <c r="A1" s="3" t="s">
        <v>110</v>
      </c>
      <c r="B1" s="3" t="s">
        <v>111</v>
      </c>
    </row>
    <row r="2" spans="1:2" x14ac:dyDescent="0.35">
      <c r="A2" t="s">
        <v>72</v>
      </c>
      <c r="B2" cm="1">
        <f t="array" ref="B2">SUMPRODUCT((TRIM(LOWER(Questions!$B:$B))=LOWER(A2))*(Questions!$D:$D&lt;&gt;""))</f>
        <v>21</v>
      </c>
    </row>
    <row r="3" spans="1:2" x14ac:dyDescent="0.35">
      <c r="A3" t="s">
        <v>92</v>
      </c>
      <c r="B3" cm="1">
        <f t="array" ref="B3">SUMPRODUCT((TRIM(LOWER(Questions!$B:$B))=LOWER(A3))*(Questions!$D:$D&lt;&gt;""))</f>
        <v>13</v>
      </c>
    </row>
    <row r="4" spans="1:2" x14ac:dyDescent="0.35">
      <c r="A4" t="s">
        <v>185</v>
      </c>
      <c r="B4" cm="1">
        <f t="array" ref="B4">SUMPRODUCT((TRIM(LOWER(Questions!$B:$B))=LOWER(A4))*(Questions!$D:$D&lt;&gt;""))</f>
        <v>10</v>
      </c>
    </row>
    <row r="5" spans="1:2" x14ac:dyDescent="0.35">
      <c r="A5" t="s">
        <v>59</v>
      </c>
      <c r="B5" cm="1">
        <f t="array" ref="B5">SUMPRODUCT((TRIM(LOWER(Questions!$B:$B))=LOWER(A5))*(Questions!$D:$D&lt;&gt;""))</f>
        <v>5</v>
      </c>
    </row>
    <row r="6" spans="1:2" x14ac:dyDescent="0.35">
      <c r="A6" t="s">
        <v>40</v>
      </c>
      <c r="B6" cm="1">
        <f t="array" ref="B6">SUMPRODUCT((TRIM(LOWER(Questions!$B:$B))=LOWER(A6))*(Questions!$D:$D&lt;&gt;""))</f>
        <v>10</v>
      </c>
    </row>
    <row r="7" spans="1:2" x14ac:dyDescent="0.35">
      <c r="A7" t="s">
        <v>23</v>
      </c>
      <c r="B7" cm="1">
        <f t="array" ref="B7">SUMPRODUCT((TRIM(LOWER(Questions!$B:$B))=LOWER(A7))*(Questions!$D:$D&lt;&gt;""))</f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:B6"/>
    </sheetView>
  </sheetViews>
  <sheetFormatPr defaultColWidth="8.81640625" defaultRowHeight="14.5" x14ac:dyDescent="0.35"/>
  <cols>
    <col min="1" max="1" width="32" customWidth="1"/>
    <col min="2" max="2" width="18" customWidth="1"/>
  </cols>
  <sheetData>
    <row r="1" spans="1:2" x14ac:dyDescent="0.35">
      <c r="A1" s="3" t="s">
        <v>112</v>
      </c>
      <c r="B1" s="3" t="s">
        <v>111</v>
      </c>
    </row>
    <row r="2" spans="1:2" x14ac:dyDescent="0.35">
      <c r="A2" t="s">
        <v>30</v>
      </c>
      <c r="B2" cm="1">
        <f t="array" ref="B2">SUMPRODUCT((LOWER(TRIM(Questions!$C:$C))=LOWER(TRIM(A2)))*(Questions!$D:$D&lt;&gt;""))</f>
        <v>32</v>
      </c>
    </row>
    <row r="3" spans="1:2" x14ac:dyDescent="0.35">
      <c r="A3" t="s">
        <v>13</v>
      </c>
      <c r="B3" cm="1">
        <f t="array" ref="B3">SUMPRODUCT((LOWER(TRIM(Questions!$C:$C))=LOWER(TRIM(A3)))*(Questions!$D:$D&lt;&gt;""))</f>
        <v>16</v>
      </c>
    </row>
    <row r="4" spans="1:2" x14ac:dyDescent="0.35">
      <c r="A4" t="s">
        <v>6</v>
      </c>
      <c r="B4" cm="1">
        <f t="array" ref="B4">SUMPRODUCT((LOWER(TRIM(Questions!$C:$C))=LOWER(TRIM(A4)))*(Questions!$D:$D&lt;&gt;""))</f>
        <v>7</v>
      </c>
    </row>
    <row r="5" spans="1:2" x14ac:dyDescent="0.35">
      <c r="A5" t="s">
        <v>79</v>
      </c>
      <c r="B5" cm="1">
        <f t="array" ref="B5">SUMPRODUCT((LOWER(TRIM(Questions!$C:$C))=LOWER(TRIM(A5)))*(Questions!$D:$D&lt;&gt;""))</f>
        <v>6</v>
      </c>
    </row>
    <row r="6" spans="1:2" x14ac:dyDescent="0.35">
      <c r="A6" t="s">
        <v>234</v>
      </c>
      <c r="B6" cm="1">
        <f t="array" ref="B6">SUMPRODUCT((LOWER(TRIM(Questions!$C:$C))=LOWER(TRIM(A6)))*(Questions!$D:$D&lt;&gt;""))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Questions</vt:lpstr>
      <vt:lpstr>Summary by topic</vt:lpstr>
      <vt:lpstr>Summary by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Makhotso Moope (UK)</cp:lastModifiedBy>
  <dcterms:created xsi:type="dcterms:W3CDTF">2026-05-30T19:12:44Z</dcterms:created>
  <dcterms:modified xsi:type="dcterms:W3CDTF">2026-06-01T08:52:56Z</dcterms:modified>
</cp:coreProperties>
</file>